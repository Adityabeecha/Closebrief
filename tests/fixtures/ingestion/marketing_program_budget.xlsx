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am Budget vs Actu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<sst xmlns="http://schemas.openxmlformats.org/spreadsheetml/2006/main" count="33" uniqueCount="33">
  <si>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Marketing Program Budget — FY2025 / FY2026 H1</t>
  </si>
  <si>
    <t xml:space="preserve">Budget set annually in Dec; reforecast at H1. Actuals sourced from marketing_campaign_spend.csv.</t>
  </si>
  <si>
    <t xml:space="preserve">Channel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</si>
  <si>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</si>
  <si>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</si>
  <si>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</si>
  <si>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</si>
  <si>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</si>
  <si>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</si>
  <si>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</si>
  <si>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</si>
  <si>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</si>
  <si>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</si>
  <si>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</si>
  <si>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</si>
  <si>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</si>
  <si>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</si>
  <si>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</si>
  <si>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</si>
  <si>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</si>
  <si>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</si>
  <si>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Total Budget</t>
  </si>
  <si>
    <t xml:space="preserve">Content/Seo</t>
  </si>
  <si>
    <t xml:space="preserve">Email/Lifecycle</t>
  </si>
  <si>
    <t xml:space="preserve">Events/Field</t>
  </si>
  <si>
    <t xml:space="preserve">Paid Search</t>
  </si>
  <si>
    <t xml:space="preserve">Paid Social - Linkedin</t>
  </si>
  <si>
    <t xml:space="preserve">Paid Social - Meta</t>
  </si>
  <si>
    <t xml:space="preserve">Partner Co-Marketing</t>
  </si>
  <si>
    <t xml:space="preserve">Retargeting</t>
  </si>
  <si>
    <t xml:space="preserve">Review Sites (G2)</t>
  </si>
  <si>
    <t xml:space="preserve">Webinars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</si>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</sst>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3" t="s">
        <v>21</v>
      </c>
    </row>
    <row r="5" customFormat="false" ht="15" hidden="false" customHeight="false" outlineLevel="0" collapsed="false">
      <c r="A5" s="5" t="s">
        <v>22</v>
      </c>
      <c r="B5" s="6" t="n">
        <v>39500</v>
      </c>
      <c r="C5" s="6" t="n">
        <v>38800</v>
      </c>
      <c r="D5" s="6" t="n">
        <v>39000</v>
      </c>
      <c r="E5" s="6" t="n">
        <v>35100</v>
      </c>
      <c r="F5" s="6" t="n">
        <v>31300</v>
      </c>
      <c r="G5" s="6" t="n">
        <v>31200</v>
      </c>
      <c r="H5" s="6" t="n">
        <v>30100</v>
      </c>
      <c r="I5" s="6" t="n">
        <v>32000</v>
      </c>
      <c r="J5" s="6" t="n">
        <v>35400</v>
      </c>
      <c r="K5" s="6" t="n">
        <v>38500</v>
      </c>
      <c r="L5" s="6" t="n">
        <v>38200</v>
      </c>
      <c r="M5" s="6" t="n">
        <v>34400</v>
      </c>
      <c r="N5" s="6" t="n">
        <v>57400</v>
      </c>
      <c r="O5" s="6" t="n">
        <v>55400</v>
      </c>
      <c r="P5" s="6" t="n">
        <v>59500</v>
      </c>
      <c r="Q5" s="6" t="n">
        <v>56900</v>
      </c>
      <c r="R5" s="6" t="n">
        <v>53000</v>
      </c>
      <c r="S5" s="6" t="n">
        <v>55100</v>
      </c>
      <c r="T5" s="7" t="n">
        <f aca="false">SUM(B5:S5)</f>
        <v>760800</v>
      </c>
    </row>
    <row r="6" customFormat="false" ht="15" hidden="false" customHeight="false" outlineLevel="0" collapsed="false">
      <c r="A6" s="5" t="s">
        <v>23</v>
      </c>
      <c r="B6" s="6" t="n">
        <v>10900</v>
      </c>
      <c r="C6" s="6" t="n">
        <v>11300</v>
      </c>
      <c r="D6" s="6" t="n">
        <v>11200</v>
      </c>
      <c r="E6" s="6" t="n">
        <v>9700</v>
      </c>
      <c r="F6" s="6" t="n">
        <v>9100</v>
      </c>
      <c r="G6" s="6" t="n">
        <v>9500</v>
      </c>
      <c r="H6" s="6" t="n">
        <v>8700</v>
      </c>
      <c r="I6" s="6" t="n">
        <v>8600</v>
      </c>
      <c r="J6" s="6" t="n">
        <v>10300</v>
      </c>
      <c r="K6" s="6" t="n">
        <v>8700</v>
      </c>
      <c r="L6" s="6" t="n">
        <v>7900</v>
      </c>
      <c r="M6" s="6" t="n">
        <v>7500</v>
      </c>
      <c r="N6" s="6" t="n">
        <v>10800</v>
      </c>
      <c r="O6" s="6" t="n">
        <v>11400</v>
      </c>
      <c r="P6" s="6" t="n">
        <v>12300</v>
      </c>
      <c r="Q6" s="6" t="n">
        <v>11700</v>
      </c>
      <c r="R6" s="6" t="n">
        <v>11900</v>
      </c>
      <c r="S6" s="6" t="n">
        <v>11300</v>
      </c>
      <c r="T6" s="7" t="n">
        <f aca="false">SUM(B6:S6)</f>
        <v>182800</v>
      </c>
    </row>
    <row r="7" customFormat="false" ht="15" hidden="false" customHeight="false" outlineLevel="0" collapsed="false">
      <c r="A7" s="5" t="s">
        <v>24</v>
      </c>
      <c r="B7" s="6" t="n">
        <v>63100</v>
      </c>
      <c r="C7" s="6" t="n">
        <v>64100</v>
      </c>
      <c r="D7" s="6" t="n">
        <v>66600</v>
      </c>
      <c r="E7" s="6" t="n">
        <v>55900</v>
      </c>
      <c r="F7" s="6" t="n">
        <v>53100</v>
      </c>
      <c r="G7" s="6" t="n">
        <v>52600</v>
      </c>
      <c r="H7" s="6" t="n">
        <v>49900</v>
      </c>
      <c r="I7" s="6" t="n">
        <v>52600</v>
      </c>
      <c r="J7" s="6" t="n">
        <v>139400</v>
      </c>
      <c r="K7" s="6" t="n">
        <v>49800</v>
      </c>
      <c r="L7" s="6" t="n">
        <v>49400</v>
      </c>
      <c r="M7" s="6" t="n">
        <v>18700</v>
      </c>
      <c r="N7" s="6" t="n">
        <v>26800</v>
      </c>
      <c r="O7" s="6" t="n">
        <v>61500</v>
      </c>
      <c r="P7" s="6" t="n">
        <v>131700</v>
      </c>
      <c r="Q7" s="6" t="n">
        <v>64500</v>
      </c>
      <c r="R7" s="6" t="n">
        <v>62400</v>
      </c>
      <c r="S7" s="6" t="n">
        <v>62600</v>
      </c>
      <c r="T7" s="7" t="n">
        <f aca="false">SUM(B7:S7)</f>
        <v>1124700</v>
      </c>
    </row>
    <row r="8" customFormat="false" ht="15" hidden="false" customHeight="false" outlineLevel="0" collapsed="false">
      <c r="A8" s="5" t="s">
        <v>25</v>
      </c>
      <c r="B8" s="6" t="n">
        <v>124600</v>
      </c>
      <c r="C8" s="6" t="n">
        <v>119500</v>
      </c>
      <c r="D8" s="6" t="n">
        <v>119900</v>
      </c>
      <c r="E8" s="6" t="n">
        <v>102700</v>
      </c>
      <c r="F8" s="6" t="n">
        <v>98300</v>
      </c>
      <c r="G8" s="6" t="n">
        <v>95800</v>
      </c>
      <c r="H8" s="6" t="n">
        <v>98500</v>
      </c>
      <c r="I8" s="6" t="n">
        <v>101100</v>
      </c>
      <c r="J8" s="6" t="n">
        <v>105900</v>
      </c>
      <c r="K8" s="6" t="n">
        <v>87700</v>
      </c>
      <c r="L8" s="6" t="n">
        <v>78400</v>
      </c>
      <c r="M8" s="6" t="n">
        <v>90100</v>
      </c>
      <c r="N8" s="6" t="n">
        <v>113000</v>
      </c>
      <c r="O8" s="6" t="n">
        <v>105400</v>
      </c>
      <c r="P8" s="6" t="n">
        <v>111900</v>
      </c>
      <c r="Q8" s="6" t="n">
        <v>106700</v>
      </c>
      <c r="R8" s="6" t="n">
        <v>112200</v>
      </c>
      <c r="S8" s="6" t="n">
        <v>110200</v>
      </c>
      <c r="T8" s="7" t="n">
        <f aca="false">SUM(B8:S8)</f>
        <v>1881900</v>
      </c>
    </row>
    <row r="9" customFormat="false" ht="15" hidden="false" customHeight="false" outlineLevel="0" collapsed="false">
      <c r="A9" s="5" t="s">
        <v>26</v>
      </c>
      <c r="B9" s="6" t="n">
        <v>58600</v>
      </c>
      <c r="C9" s="6" t="n">
        <v>55900</v>
      </c>
      <c r="D9" s="6" t="n">
        <v>54200</v>
      </c>
      <c r="E9" s="6" t="n">
        <v>48300</v>
      </c>
      <c r="F9" s="6" t="n">
        <v>46300</v>
      </c>
      <c r="G9" s="6" t="n">
        <v>47400</v>
      </c>
      <c r="H9" s="6" t="n">
        <v>48700</v>
      </c>
      <c r="I9" s="6" t="n">
        <v>45600</v>
      </c>
      <c r="J9" s="6" t="n">
        <v>50100</v>
      </c>
      <c r="K9" s="6" t="n">
        <v>42400</v>
      </c>
      <c r="L9" s="6" t="n">
        <v>40300</v>
      </c>
      <c r="M9" s="6" t="n">
        <v>38600</v>
      </c>
      <c r="N9" s="6" t="n">
        <v>56500</v>
      </c>
      <c r="O9" s="6" t="n">
        <v>58300</v>
      </c>
      <c r="P9" s="6" t="n">
        <v>60900</v>
      </c>
      <c r="Q9" s="6" t="n">
        <v>57900</v>
      </c>
      <c r="R9" s="6" t="n">
        <v>63100</v>
      </c>
      <c r="S9" s="6" t="n">
        <v>59600</v>
      </c>
      <c r="T9" s="7" t="n">
        <f aca="false">SUM(B9:S9)</f>
        <v>932700</v>
      </c>
    </row>
    <row r="10" customFormat="false" ht="15" hidden="false" customHeight="false" outlineLevel="0" collapsed="false">
      <c r="A10" s="5" t="s">
        <v>27</v>
      </c>
      <c r="B10" s="6" t="n">
        <v>19800</v>
      </c>
      <c r="C10" s="6" t="n">
        <v>20300</v>
      </c>
      <c r="D10" s="6" t="n">
        <v>21000</v>
      </c>
      <c r="E10" s="6" t="n">
        <v>16600</v>
      </c>
      <c r="F10" s="6" t="n">
        <v>17600</v>
      </c>
      <c r="G10" s="6" t="n">
        <v>16500</v>
      </c>
      <c r="H10" s="6" t="n">
        <v>17600</v>
      </c>
      <c r="I10" s="6" t="n">
        <v>16700</v>
      </c>
      <c r="J10" s="6" t="n">
        <v>17700</v>
      </c>
      <c r="K10" s="6" t="n">
        <v>15900</v>
      </c>
      <c r="L10" s="6" t="n">
        <v>16600</v>
      </c>
      <c r="M10" s="6" t="n">
        <v>14400</v>
      </c>
      <c r="N10" s="6" t="n">
        <v>11600</v>
      </c>
      <c r="O10" s="6" t="n">
        <v>13200</v>
      </c>
      <c r="P10" s="6" t="n">
        <v>13100</v>
      </c>
      <c r="Q10" s="6" t="n">
        <v>12400</v>
      </c>
      <c r="R10" s="6" t="n">
        <v>12800</v>
      </c>
      <c r="S10" s="6" t="n">
        <v>12700</v>
      </c>
      <c r="T10" s="7" t="n">
        <f aca="false">SUM(B10:S10)</f>
        <v>286500</v>
      </c>
    </row>
    <row r="11" customFormat="false" ht="15" hidden="false" customHeight="false" outlineLevel="0" collapsed="false">
      <c r="A11" s="5" t="s">
        <v>28</v>
      </c>
      <c r="B11" s="6" t="n">
        <v>11500</v>
      </c>
      <c r="C11" s="6" t="n">
        <v>11400</v>
      </c>
      <c r="D11" s="6" t="n">
        <v>12800</v>
      </c>
      <c r="E11" s="6" t="n">
        <v>11500</v>
      </c>
      <c r="F11" s="6" t="n">
        <v>12800</v>
      </c>
      <c r="G11" s="6" t="n">
        <v>12600</v>
      </c>
      <c r="H11" s="6" t="n">
        <v>11900</v>
      </c>
      <c r="I11" s="6" t="n">
        <v>11500</v>
      </c>
      <c r="J11" s="6" t="n">
        <v>12300</v>
      </c>
      <c r="K11" s="6" t="n">
        <v>12500</v>
      </c>
      <c r="L11" s="6" t="n">
        <v>11100</v>
      </c>
      <c r="M11" s="6" t="n">
        <v>10700</v>
      </c>
      <c r="N11" s="6" t="n">
        <v>19800</v>
      </c>
      <c r="O11" s="6" t="n">
        <v>19100</v>
      </c>
      <c r="P11" s="6" t="n">
        <v>26900</v>
      </c>
      <c r="Q11" s="6" t="n">
        <v>28200</v>
      </c>
      <c r="R11" s="6" t="n">
        <v>26100</v>
      </c>
      <c r="S11" s="6" t="n">
        <v>25100</v>
      </c>
      <c r="T11" s="7" t="n">
        <f aca="false">SUM(B11:S11)</f>
        <v>287800</v>
      </c>
    </row>
    <row r="12" customFormat="false" ht="15" hidden="false" customHeight="false" outlineLevel="0" collapsed="false">
      <c r="A12" s="5" t="s">
        <v>29</v>
      </c>
      <c r="B12" s="6" t="n">
        <v>2000</v>
      </c>
      <c r="C12" s="6" t="n">
        <v>2000</v>
      </c>
      <c r="D12" s="6" t="n">
        <v>2100</v>
      </c>
      <c r="E12" s="6" t="n">
        <v>2000</v>
      </c>
      <c r="F12" s="6" t="n">
        <v>2000</v>
      </c>
      <c r="G12" s="6" t="n">
        <v>1900</v>
      </c>
      <c r="H12" s="6" t="n">
        <v>1800</v>
      </c>
      <c r="I12" s="6" t="n">
        <v>1700</v>
      </c>
      <c r="J12" s="6" t="n">
        <v>2100</v>
      </c>
      <c r="K12" s="6" t="n">
        <v>2000</v>
      </c>
      <c r="L12" s="6" t="n">
        <v>14300</v>
      </c>
      <c r="M12" s="6" t="n">
        <v>14000</v>
      </c>
      <c r="N12" s="6" t="n">
        <v>14700</v>
      </c>
      <c r="O12" s="6" t="n">
        <v>13700</v>
      </c>
      <c r="P12" s="6" t="n">
        <v>15500</v>
      </c>
      <c r="Q12" s="6" t="n">
        <v>14300</v>
      </c>
      <c r="R12" s="6" t="n">
        <v>15100</v>
      </c>
      <c r="S12" s="6" t="n">
        <v>14700</v>
      </c>
      <c r="T12" s="7" t="n">
        <f aca="false">SUM(B12:S12)</f>
        <v>135900</v>
      </c>
    </row>
    <row r="13" customFormat="false" ht="15" hidden="false" customHeight="false" outlineLevel="0" collapsed="false">
      <c r="A13" s="5" t="s">
        <v>30</v>
      </c>
      <c r="B13" s="6" t="n">
        <v>20200</v>
      </c>
      <c r="C13" s="6" t="n">
        <v>20300</v>
      </c>
      <c r="D13" s="6" t="n">
        <v>21500</v>
      </c>
      <c r="E13" s="6" t="n">
        <v>15800</v>
      </c>
      <c r="F13" s="6" t="n">
        <v>16800</v>
      </c>
      <c r="G13" s="6" t="n">
        <v>17500</v>
      </c>
      <c r="H13" s="6" t="n">
        <v>16300</v>
      </c>
      <c r="I13" s="6" t="n">
        <v>14600</v>
      </c>
      <c r="J13" s="6" t="n">
        <v>15900</v>
      </c>
      <c r="K13" s="6" t="n">
        <v>14700</v>
      </c>
      <c r="L13" s="6" t="n">
        <v>15800</v>
      </c>
      <c r="M13" s="6" t="n">
        <v>12500</v>
      </c>
      <c r="N13" s="6" t="n">
        <v>20400</v>
      </c>
      <c r="O13" s="6" t="n">
        <v>18700</v>
      </c>
      <c r="P13" s="6" t="n">
        <v>20200</v>
      </c>
      <c r="Q13" s="6" t="n">
        <v>19100</v>
      </c>
      <c r="R13" s="6" t="n">
        <v>20500</v>
      </c>
      <c r="S13" s="6" t="n">
        <v>20000</v>
      </c>
      <c r="T13" s="7" t="n">
        <f aca="false">SUM(B13:S13)</f>
        <v>320800</v>
      </c>
    </row>
    <row r="14" customFormat="false" ht="15" hidden="false" customHeight="false" outlineLevel="0" collapsed="false">
      <c r="A14" s="5" t="s">
        <v>31</v>
      </c>
      <c r="B14" s="6" t="n">
        <v>36100</v>
      </c>
      <c r="C14" s="6" t="n">
        <v>35300</v>
      </c>
      <c r="D14" s="6" t="n">
        <v>40600</v>
      </c>
      <c r="E14" s="6" t="n">
        <v>41100</v>
      </c>
      <c r="F14" s="6" t="n">
        <v>38400</v>
      </c>
      <c r="G14" s="6" t="n">
        <v>38100</v>
      </c>
      <c r="H14" s="6" t="n">
        <v>37200</v>
      </c>
      <c r="I14" s="6" t="n">
        <v>37100</v>
      </c>
      <c r="J14" s="6" t="n">
        <v>40800</v>
      </c>
      <c r="K14" s="6" t="n">
        <v>40000</v>
      </c>
      <c r="L14" s="6" t="n">
        <v>38200</v>
      </c>
      <c r="M14" s="6" t="n">
        <v>37600</v>
      </c>
      <c r="N14" s="6" t="n">
        <v>31800</v>
      </c>
      <c r="O14" s="6" t="n">
        <v>34100</v>
      </c>
      <c r="P14" s="6" t="n">
        <v>36900</v>
      </c>
      <c r="Q14" s="6" t="n">
        <v>19200</v>
      </c>
      <c r="R14" s="6" t="n">
        <v>18100</v>
      </c>
      <c r="S14" s="6" t="n">
        <v>18600</v>
      </c>
      <c r="T14" s="7" t="n">
        <f aca="false">SUM(B14:S14)</f>
        <v>619200</v>
      </c>
    </row>
    <row r="15" customFormat="false" ht="15" hidden="false" customHeight="false" outlineLevel="0" collapsed="false">
      <c r="A15" s="3" t="s">
        <v>32</v>
      </c>
      <c r="B15" s="7" t="n">
        <f aca="false">SUM(B5:B14)</f>
        <v>386300</v>
      </c>
      <c r="C15" s="7" t="n">
        <f aca="false">SUM(C5:C14)</f>
        <v>378900</v>
      </c>
      <c r="D15" s="7" t="n">
        <f aca="false">SUM(D5:D14)</f>
        <v>388900</v>
      </c>
      <c r="E15" s="7" t="n">
        <f aca="false">SUM(E5:E14)</f>
        <v>338700</v>
      </c>
      <c r="F15" s="7" t="n">
        <f aca="false">SUM(F5:F14)</f>
        <v>325700</v>
      </c>
      <c r="G15" s="7" t="n">
        <f aca="false">SUM(G5:G14)</f>
        <v>323100</v>
      </c>
      <c r="H15" s="7" t="n">
        <f aca="false">SUM(H5:H14)</f>
        <v>320700</v>
      </c>
      <c r="I15" s="7" t="n">
        <f aca="false">SUM(I5:I14)</f>
        <v>321500</v>
      </c>
      <c r="J15" s="7" t="n">
        <f aca="false">SUM(J5:J14)</f>
        <v>429900</v>
      </c>
      <c r="K15" s="7" t="n">
        <f aca="false">SUM(K5:K14)</f>
        <v>312200</v>
      </c>
      <c r="L15" s="7" t="n">
        <f aca="false">SUM(L5:L14)</f>
        <v>310200</v>
      </c>
      <c r="M15" s="7" t="n">
        <f aca="false">SUM(M5:M14)</f>
        <v>278500</v>
      </c>
      <c r="N15" s="7" t="n">
        <f aca="false">SUM(N5:N14)</f>
        <v>362800</v>
      </c>
      <c r="O15" s="7" t="n">
        <f aca="false">SUM(O5:O14)</f>
        <v>390800</v>
      </c>
      <c r="P15" s="7" t="n">
        <f aca="false">SUM(P5:P14)</f>
        <v>488900</v>
      </c>
      <c r="Q15" s="7" t="n">
        <f aca="false">SUM(Q5:Q14)</f>
        <v>390900</v>
      </c>
      <c r="R15" s="7" t="n">
        <f aca="false">SUM(R5:R14)</f>
        <v>395200</v>
      </c>
      <c r="S15" s="7" t="n">
        <f aca="false">SUM(S5:S14)</f>
        <v>389900</v>
      </c>
      <c r="T15" s="7" t="n">
        <f aca="false">SUM(T5:T14)</f>
        <v>6533100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2026-08-01T07:44:27Z</dcterms:created>
  <dc:creator>openpyxl</dc:creator>
  <dc:description/>
  <dc:language>en-US</dc:language>
  <cp:lastModifiedBy/>
  <dcterms:modified xsi:type="dcterms:W3CDTF">2026-08-01T07:44:27Z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